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cal_IS" sheetId="2" state="visible" r:id="rId2"/>
    <sheet xmlns:r="http://schemas.openxmlformats.org/officeDocument/2006/relationships" name="Historical_BS" sheetId="3" state="visible" r:id="rId3"/>
    <sheet xmlns:r="http://schemas.openxmlformats.org/officeDocument/2006/relationships" name="Historical_CF" sheetId="4" state="visible" r:id="rId4"/>
    <sheet xmlns:r="http://schemas.openxmlformats.org/officeDocument/2006/relationships" name="Segments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Forecast_3Statement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KP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3-Statement Financial Analysis &amp; Integrated Forecast — Laurus Labs</t>
        </is>
      </c>
      <c r="B1" s="1" t="n"/>
    </row>
    <row r="2">
      <c r="A2" t="inlineStr">
        <is>
          <t>Company</t>
        </is>
      </c>
      <c r="B2" t="inlineStr">
        <is>
          <t>Laurus Labs Limited</t>
        </is>
      </c>
    </row>
    <row r="3">
      <c r="A3" t="inlineStr">
        <is>
          <t>Period</t>
        </is>
      </c>
      <c r="B3" t="inlineStr">
        <is>
          <t>FY2024A–FY2026A + FY2027E–FY2031E</t>
        </is>
      </c>
    </row>
    <row r="4">
      <c r="A4" t="inlineStr">
        <is>
          <t>Role</t>
        </is>
      </c>
      <c r="B4" t="inlineStr">
        <is>
          <t>Financial Analyst / Investment Banking Project</t>
        </is>
      </c>
    </row>
    <row r="5">
      <c r="A5" t="inlineStr">
        <is>
          <t>Core question</t>
        </is>
      </c>
      <c r="B5" t="inlineStr">
        <is>
          <t>Can growth and operating leverage fund Laurus Labs' capacity expansion while maintaining cash conversion and balance-sheet resilience?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₹ crore</t>
        </is>
      </c>
      <c r="B1" s="1" t="inlineStr">
        <is>
          <t>FY2024A</t>
        </is>
      </c>
      <c r="C1" s="1" t="inlineStr">
        <is>
          <t>FY2025A</t>
        </is>
      </c>
      <c r="D1" s="1" t="inlineStr">
        <is>
          <t>FY2026A</t>
        </is>
      </c>
    </row>
    <row r="2">
      <c r="A2" t="inlineStr">
        <is>
          <t>Revenue</t>
        </is>
      </c>
      <c r="B2" t="n">
        <v>5041</v>
      </c>
      <c r="C2" t="n">
        <v>5554</v>
      </c>
      <c r="D2" t="n">
        <v>6813</v>
      </c>
    </row>
    <row r="3">
      <c r="A3" t="inlineStr">
        <is>
          <t>EBITDA</t>
        </is>
      </c>
      <c r="B3" t="n">
        <v>798</v>
      </c>
      <c r="C3" t="n">
        <v>1115</v>
      </c>
      <c r="D3" t="n">
        <v>1826</v>
      </c>
    </row>
    <row r="4">
      <c r="A4" t="inlineStr">
        <is>
          <t>PBT</t>
        </is>
      </c>
      <c r="B4" t="n">
        <v>236</v>
      </c>
      <c r="C4" t="n">
        <v>484</v>
      </c>
      <c r="D4" t="n">
        <v>1137</v>
      </c>
    </row>
    <row r="5">
      <c r="A5" t="inlineStr">
        <is>
          <t>PAT</t>
        </is>
      </c>
      <c r="B5" t="n">
        <v>161</v>
      </c>
      <c r="C5" t="n">
        <v>358</v>
      </c>
      <c r="D5" t="n">
        <v>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₹ crore</t>
        </is>
      </c>
      <c r="B1" s="1" t="inlineStr">
        <is>
          <t>FY2024A</t>
        </is>
      </c>
      <c r="C1" s="1" t="inlineStr">
        <is>
          <t>FY2025A</t>
        </is>
      </c>
      <c r="D1" s="1" t="inlineStr">
        <is>
          <t>FY2026A</t>
        </is>
      </c>
    </row>
    <row r="2">
      <c r="A2" t="inlineStr">
        <is>
          <t>Net Fixed Assets</t>
        </is>
      </c>
      <c r="B2" t="n">
        <v>4048</v>
      </c>
      <c r="C2" t="n">
        <v>4316</v>
      </c>
      <c r="D2" t="n">
        <v>0</v>
      </c>
    </row>
    <row r="3">
      <c r="A3" t="inlineStr">
        <is>
          <t>Inventory</t>
        </is>
      </c>
      <c r="B3" t="n">
        <v>1845</v>
      </c>
      <c r="C3" t="n">
        <v>1937</v>
      </c>
      <c r="D3" t="n">
        <v>0</v>
      </c>
    </row>
    <row r="4">
      <c r="A4" t="inlineStr">
        <is>
          <t>Receivables</t>
        </is>
      </c>
      <c r="B4" t="n">
        <v>1663</v>
      </c>
      <c r="C4" t="n">
        <v>2007</v>
      </c>
      <c r="D4" t="n">
        <v>0</v>
      </c>
    </row>
    <row r="5">
      <c r="A5" t="inlineStr">
        <is>
          <t>Payables</t>
        </is>
      </c>
      <c r="B5" t="n">
        <v>1051</v>
      </c>
      <c r="C5" t="n">
        <v>959</v>
      </c>
      <c r="D5" t="n">
        <v>0</v>
      </c>
    </row>
    <row r="6">
      <c r="A6" t="inlineStr">
        <is>
          <t>Debt</t>
        </is>
      </c>
      <c r="B6" t="n">
        <v>2507</v>
      </c>
      <c r="C6" t="n">
        <v>2693</v>
      </c>
      <c r="D6" t="n">
        <v>0</v>
      </c>
    </row>
    <row r="7">
      <c r="A7" t="inlineStr">
        <is>
          <t>Cash</t>
        </is>
      </c>
      <c r="B7" t="n">
        <v>139</v>
      </c>
      <c r="C7" t="n">
        <v>100</v>
      </c>
      <c r="D7" t="n">
        <v>0</v>
      </c>
    </row>
    <row r="8">
      <c r="A8" t="inlineStr">
        <is>
          <t>Net Working Capital</t>
        </is>
      </c>
      <c r="B8" t="n">
        <v>2457</v>
      </c>
      <c r="C8" t="n">
        <v>2985</v>
      </c>
      <c r="D8" t="n">
        <v>0</v>
      </c>
    </row>
    <row r="10">
      <c r="A10" t="inlineStr">
        <is>
          <t>FY2026 balance-sheet detailed values should be reconciled directly from the full annual report before final publication.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₹ crore</t>
        </is>
      </c>
      <c r="B1" s="1" t="inlineStr">
        <is>
          <t>FY2024A</t>
        </is>
      </c>
      <c r="C1" s="1" t="inlineStr">
        <is>
          <t>FY2025A</t>
        </is>
      </c>
      <c r="D1" s="1" t="inlineStr">
        <is>
          <t>FY2026A</t>
        </is>
      </c>
    </row>
    <row r="2">
      <c r="A2" t="inlineStr">
        <is>
          <t>Operating Cash Flow</t>
        </is>
      </c>
      <c r="B2" t="inlineStr">
        <is>
          <t>Update</t>
        </is>
      </c>
      <c r="C2" t="inlineStr">
        <is>
          <t>Update</t>
        </is>
      </c>
      <c r="D2" t="n">
        <v>1624</v>
      </c>
    </row>
    <row r="3">
      <c r="A3" t="inlineStr">
        <is>
          <t>CapEx</t>
        </is>
      </c>
      <c r="B3" t="n">
        <v>3562</v>
      </c>
      <c r="C3" t="inlineStr">
        <is>
          <t>Update</t>
        </is>
      </c>
      <c r="D3" t="n">
        <v>1070</v>
      </c>
    </row>
    <row r="4">
      <c r="A4" t="inlineStr">
        <is>
          <t>Free Cash Flow</t>
        </is>
      </c>
      <c r="B4" t="inlineStr">
        <is>
          <t>Update</t>
        </is>
      </c>
      <c r="C4" t="inlineStr">
        <is>
          <t>Update</t>
        </is>
      </c>
      <c r="D4" t="inlineStr">
        <is>
          <t>Update</t>
        </is>
      </c>
    </row>
    <row r="5">
      <c r="A5" t="inlineStr">
        <is>
          <t>Dividends</t>
        </is>
      </c>
      <c r="B5" t="inlineStr">
        <is>
          <t>Update</t>
        </is>
      </c>
      <c r="C5" t="inlineStr">
        <is>
          <t>Update</t>
        </is>
      </c>
      <c r="D5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FY</t>
        </is>
      </c>
      <c r="B1" s="1" t="inlineStr">
        <is>
          <t>Segment</t>
        </is>
      </c>
      <c r="C1" s="1" t="inlineStr">
        <is>
          <t>Revenue</t>
        </is>
      </c>
      <c r="D1" s="1" t="inlineStr">
        <is>
          <t>Share %</t>
        </is>
      </c>
    </row>
    <row r="2">
      <c r="A2" t="n">
        <v>2024</v>
      </c>
      <c r="B2" t="inlineStr">
        <is>
          <t>CDMO</t>
        </is>
      </c>
      <c r="C2" t="n">
        <v>1529</v>
      </c>
      <c r="D2" t="n">
        <v>30.3</v>
      </c>
    </row>
    <row r="3">
      <c r="A3" t="n">
        <v>2024</v>
      </c>
      <c r="B3" t="inlineStr">
        <is>
          <t>Affordable Medicines</t>
        </is>
      </c>
      <c r="C3" t="n">
        <v>3512</v>
      </c>
      <c r="D3" t="n">
        <v>69.7</v>
      </c>
    </row>
    <row r="4">
      <c r="A4" t="n">
        <v>2025</v>
      </c>
      <c r="B4" t="inlineStr">
        <is>
          <t>CDMO</t>
        </is>
      </c>
      <c r="C4" t="n">
        <v>1529</v>
      </c>
      <c r="D4" t="n">
        <v>27.5</v>
      </c>
    </row>
    <row r="5">
      <c r="A5" t="n">
        <v>2025</v>
      </c>
      <c r="B5" t="inlineStr">
        <is>
          <t>Affordable Medicines</t>
        </is>
      </c>
      <c r="C5" t="n">
        <v>4025</v>
      </c>
      <c r="D5" t="n">
        <v>72.5</v>
      </c>
    </row>
    <row r="6">
      <c r="A6" t="n">
        <v>2026</v>
      </c>
      <c r="B6" t="inlineStr">
        <is>
          <t>CDMO</t>
        </is>
      </c>
      <c r="C6" t="n">
        <v>2080</v>
      </c>
      <c r="D6" t="n">
        <v>31</v>
      </c>
    </row>
    <row r="7">
      <c r="A7" t="n">
        <v>2026</v>
      </c>
      <c r="B7" t="inlineStr">
        <is>
          <t>Affordable Medicines</t>
        </is>
      </c>
      <c r="C7" t="n">
        <v>4733</v>
      </c>
      <c r="D7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Assumption</t>
        </is>
      </c>
      <c r="B1" s="1" t="inlineStr">
        <is>
          <t>Base</t>
        </is>
      </c>
      <c r="C1" s="1" t="inlineStr">
        <is>
          <t>Bull</t>
        </is>
      </c>
      <c r="D1" s="1" t="inlineStr">
        <is>
          <t>Bear</t>
        </is>
      </c>
    </row>
    <row r="2">
      <c r="A2" t="inlineStr">
        <is>
          <t>Revenue Growth FY27</t>
        </is>
      </c>
      <c r="B2" t="n">
        <v>0.1</v>
      </c>
      <c r="C2" t="n">
        <v>0.14</v>
      </c>
      <c r="D2" t="n">
        <v>0.05</v>
      </c>
    </row>
    <row r="3">
      <c r="A3" t="inlineStr">
        <is>
          <t>Revenue Growth FY28</t>
        </is>
      </c>
      <c r="B3" t="n">
        <v>0.1</v>
      </c>
      <c r="C3" t="n">
        <v>0.13</v>
      </c>
      <c r="D3" t="n">
        <v>0.06</v>
      </c>
    </row>
    <row r="4">
      <c r="A4" t="inlineStr">
        <is>
          <t>Revenue Growth FY29</t>
        </is>
      </c>
      <c r="B4" t="n">
        <v>0.09</v>
      </c>
      <c r="C4" t="n">
        <v>0.12</v>
      </c>
      <c r="D4" t="n">
        <v>0.06</v>
      </c>
    </row>
    <row r="5">
      <c r="A5" t="inlineStr">
        <is>
          <t>Revenue Growth FY30</t>
        </is>
      </c>
      <c r="B5" t="n">
        <v>0.09</v>
      </c>
      <c r="C5" t="n">
        <v>0.12</v>
      </c>
      <c r="D5" t="n">
        <v>0.05</v>
      </c>
    </row>
    <row r="6">
      <c r="A6" t="inlineStr">
        <is>
          <t>Revenue Growth FY31</t>
        </is>
      </c>
      <c r="B6" t="n">
        <v>0.08</v>
      </c>
      <c r="C6" t="n">
        <v>0.11</v>
      </c>
      <c r="D6" t="n">
        <v>0.05</v>
      </c>
    </row>
    <row r="7">
      <c r="A7" t="inlineStr">
        <is>
          <t>EBITDA Margin</t>
        </is>
      </c>
      <c r="B7" t="n">
        <v>0.27</v>
      </c>
      <c r="C7" t="n">
        <v>0.29</v>
      </c>
      <c r="D7" t="n">
        <v>0.23</v>
      </c>
    </row>
    <row r="8">
      <c r="A8" t="inlineStr">
        <is>
          <t>Tax Rate</t>
        </is>
      </c>
      <c r="B8" t="n">
        <v>0.25</v>
      </c>
      <c r="C8" t="n">
        <v>0.24</v>
      </c>
      <c r="D8" t="n">
        <v>0.27</v>
      </c>
    </row>
    <row r="9">
      <c r="A9" t="inlineStr">
        <is>
          <t>DSO (days)</t>
        </is>
      </c>
      <c r="B9" t="n">
        <v>110</v>
      </c>
      <c r="C9" t="n">
        <v>100</v>
      </c>
      <c r="D9" t="n">
        <v>125</v>
      </c>
    </row>
    <row r="10">
      <c r="A10" t="inlineStr">
        <is>
          <t>Inventory Days</t>
        </is>
      </c>
      <c r="B10" t="n">
        <v>125</v>
      </c>
      <c r="C10" t="n">
        <v>110</v>
      </c>
      <c r="D10" t="n">
        <v>145</v>
      </c>
    </row>
    <row r="11">
      <c r="A11" t="inlineStr">
        <is>
          <t>DPO (days)</t>
        </is>
      </c>
      <c r="B11" t="n">
        <v>60</v>
      </c>
      <c r="C11" t="n">
        <v>65</v>
      </c>
      <c r="D11" t="n">
        <v>50</v>
      </c>
    </row>
    <row r="12">
      <c r="A12" t="inlineStr">
        <is>
          <t>CapEx % Revenue</t>
        </is>
      </c>
      <c r="B12" t="n">
        <v>0.12</v>
      </c>
      <c r="C12" t="n">
        <v>0.1</v>
      </c>
      <c r="D12" t="n">
        <v>0.15</v>
      </c>
    </row>
    <row r="13">
      <c r="A13" t="inlineStr">
        <is>
          <t>D&amp;A % Revenue</t>
        </is>
      </c>
      <c r="B13" t="n">
        <v>0.045</v>
      </c>
      <c r="C13" t="n">
        <v>0.045</v>
      </c>
      <c r="D13" t="n">
        <v>0.04</v>
      </c>
    </row>
    <row r="14">
      <c r="A14" t="inlineStr">
        <is>
          <t>Dividend Payout % PAT</t>
        </is>
      </c>
      <c r="B14" t="n">
        <v>0.15</v>
      </c>
      <c r="C14" t="n">
        <v>0.15</v>
      </c>
      <c r="D14" t="n">
        <v>0.1</v>
      </c>
    </row>
    <row r="15">
      <c r="A15" t="inlineStr">
        <is>
          <t>Interest Rate</t>
        </is>
      </c>
      <c r="B15" t="n">
        <v>0.08</v>
      </c>
      <c r="C15" t="n">
        <v>0.075</v>
      </c>
      <c r="D15" t="n">
        <v>0.09</v>
      </c>
    </row>
    <row r="16">
      <c r="A16" t="inlineStr">
        <is>
          <t>Beginning Cash FY27</t>
        </is>
      </c>
      <c r="B16" t="n">
        <v>100</v>
      </c>
      <c r="C16" t="n">
        <v>100</v>
      </c>
      <c r="D16" t="n">
        <v>100</v>
      </c>
    </row>
    <row r="17">
      <c r="A17" t="inlineStr">
        <is>
          <t>Beginning Debt FY27</t>
        </is>
      </c>
      <c r="B17" t="n">
        <v>2693</v>
      </c>
      <c r="C17" t="n">
        <v>2693</v>
      </c>
      <c r="D17" t="n">
        <v>2693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₹ crore</t>
        </is>
      </c>
      <c r="B1" s="1" t="inlineStr">
        <is>
          <t>FY2026A</t>
        </is>
      </c>
      <c r="C1" s="1" t="inlineStr">
        <is>
          <t>FY2027E</t>
        </is>
      </c>
      <c r="D1" s="1" t="inlineStr">
        <is>
          <t>FY2028E</t>
        </is>
      </c>
      <c r="E1" s="1" t="inlineStr">
        <is>
          <t>FY2029E</t>
        </is>
      </c>
      <c r="F1" s="1" t="inlineStr">
        <is>
          <t>FY2030E</t>
        </is>
      </c>
      <c r="G1" s="1" t="inlineStr">
        <is>
          <t>FY2031E</t>
        </is>
      </c>
    </row>
    <row r="2">
      <c r="A2" t="inlineStr">
        <is>
          <t>Revenue</t>
        </is>
      </c>
      <c r="B2" t="n">
        <v>6813</v>
      </c>
      <c r="C2">
        <f>B2*(1+Assumptions!B2)</f>
        <v/>
      </c>
      <c r="D2">
        <f>C2*(1+Assumptions!B3)</f>
        <v/>
      </c>
      <c r="E2">
        <f>D2*(1+Assumptions!B4)</f>
        <v/>
      </c>
      <c r="F2">
        <f>E2*(1+Assumptions!B5)</f>
        <v/>
      </c>
      <c r="G2">
        <f>F2*(1+Assumptions!B6)</f>
        <v/>
      </c>
    </row>
    <row r="3">
      <c r="A3" t="inlineStr">
        <is>
          <t>Growth</t>
        </is>
      </c>
      <c r="B3" t="n">
        <v>0</v>
      </c>
      <c r="C3">
        <f>C2/B2-1</f>
        <v/>
      </c>
      <c r="D3">
        <f>D2/C2-1</f>
        <v/>
      </c>
      <c r="E3">
        <f>E2/D2-1</f>
        <v/>
      </c>
      <c r="F3">
        <f>F2/E2-1</f>
        <v/>
      </c>
      <c r="G3">
        <f>G2/F2-1</f>
        <v/>
      </c>
    </row>
    <row r="4">
      <c r="A4" t="inlineStr">
        <is>
          <t>EBITDA Margin</t>
        </is>
      </c>
      <c r="B4" t="n">
        <v>0.268</v>
      </c>
      <c r="C4">
        <f>Assumptions!B7</f>
        <v/>
      </c>
      <c r="D4">
        <f>Assumptions!B7</f>
        <v/>
      </c>
      <c r="E4">
        <f>Assumptions!B7</f>
        <v/>
      </c>
      <c r="F4">
        <f>Assumptions!B7</f>
        <v/>
      </c>
      <c r="G4">
        <f>Assumptions!B7</f>
        <v/>
      </c>
    </row>
    <row r="5">
      <c r="A5" t="inlineStr">
        <is>
          <t>EBITDA</t>
        </is>
      </c>
      <c r="B5">
        <f>B2*B4</f>
        <v/>
      </c>
      <c r="C5">
        <f>C2*C4</f>
        <v/>
      </c>
      <c r="D5">
        <f>D2*D4</f>
        <v/>
      </c>
      <c r="E5">
        <f>E2*E4</f>
        <v/>
      </c>
      <c r="F5">
        <f>F2*F4</f>
        <v/>
      </c>
      <c r="G5">
        <f>G2*G4</f>
        <v/>
      </c>
    </row>
    <row r="6">
      <c r="A6" t="inlineStr">
        <is>
          <t>D&amp;A</t>
        </is>
      </c>
      <c r="B6" t="n">
        <v>0</v>
      </c>
      <c r="C6">
        <f>C2*Assumptions!B13</f>
        <v/>
      </c>
      <c r="D6">
        <f>D2*Assumptions!B13</f>
        <v/>
      </c>
      <c r="E6">
        <f>E2*Assumptions!B13</f>
        <v/>
      </c>
      <c r="F6">
        <f>F2*Assumptions!B13</f>
        <v/>
      </c>
      <c r="G6">
        <f>G2*Assumptions!B13</f>
        <v/>
      </c>
    </row>
    <row r="7">
      <c r="A7" t="inlineStr">
        <is>
          <t>EBIT</t>
        </is>
      </c>
      <c r="B7">
        <f>B5-B6</f>
        <v/>
      </c>
      <c r="C7">
        <f>C5-C6</f>
        <v/>
      </c>
      <c r="D7">
        <f>D5-D6</f>
        <v/>
      </c>
      <c r="E7">
        <f>E5-E6</f>
        <v/>
      </c>
      <c r="F7">
        <f>F5-F6</f>
        <v/>
      </c>
      <c r="G7">
        <f>G5-G6</f>
        <v/>
      </c>
    </row>
    <row r="8">
      <c r="A8" t="inlineStr">
        <is>
          <t>Interest</t>
        </is>
      </c>
      <c r="B8" t="n">
        <v>0</v>
      </c>
      <c r="C8">
        <f>AVERAGE(B24,Assumptions!B17)*Assumptions!B15</f>
        <v/>
      </c>
      <c r="D8">
        <f>AVERAGE(C24,Assumptions!B17)*Assumptions!B15</f>
        <v/>
      </c>
      <c r="E8">
        <f>AVERAGE(D24,Assumptions!B17)*Assumptions!B15</f>
        <v/>
      </c>
      <c r="F8">
        <f>AVERAGE(E24,Assumptions!B17)*Assumptions!B15</f>
        <v/>
      </c>
      <c r="G8">
        <f>AVERAGE(F24,Assumptions!B17)*Assumptions!B15</f>
        <v/>
      </c>
    </row>
    <row r="9">
      <c r="A9" t="inlineStr">
        <is>
          <t>PBT</t>
        </is>
      </c>
      <c r="B9">
        <f>B7-B8</f>
        <v/>
      </c>
      <c r="C9">
        <f>C7-C8</f>
        <v/>
      </c>
      <c r="D9">
        <f>D7-D8</f>
        <v/>
      </c>
      <c r="E9">
        <f>E7-E8</f>
        <v/>
      </c>
      <c r="F9">
        <f>F7-F8</f>
        <v/>
      </c>
      <c r="G9">
        <f>G7-G8</f>
        <v/>
      </c>
    </row>
    <row r="10">
      <c r="A10" t="inlineStr">
        <is>
          <t>Tax</t>
        </is>
      </c>
      <c r="B10" t="n">
        <v>0</v>
      </c>
      <c r="C10">
        <f>C9*Assumptions!B8</f>
        <v/>
      </c>
      <c r="D10">
        <f>D9*Assumptions!B8</f>
        <v/>
      </c>
      <c r="E10">
        <f>E9*Assumptions!B8</f>
        <v/>
      </c>
      <c r="F10">
        <f>F9*Assumptions!B8</f>
        <v/>
      </c>
      <c r="G10">
        <f>G9*Assumptions!B8</f>
        <v/>
      </c>
    </row>
    <row r="11">
      <c r="A11" t="inlineStr">
        <is>
          <t>PAT</t>
        </is>
      </c>
      <c r="B11">
        <f>B9-B10</f>
        <v/>
      </c>
      <c r="C11">
        <f>C9-C10</f>
        <v/>
      </c>
      <c r="D11">
        <f>D9-D10</f>
        <v/>
      </c>
      <c r="E11">
        <f>E9-E10</f>
        <v/>
      </c>
      <c r="F11">
        <f>F9-F10</f>
        <v/>
      </c>
      <c r="G11">
        <f>G9-G10</f>
        <v/>
      </c>
    </row>
    <row r="12">
      <c r="A12" t="inlineStr">
        <is>
          <t>DSO</t>
        </is>
      </c>
      <c r="B12" t="n">
        <v>110</v>
      </c>
      <c r="C12">
        <f>Assumptions!B9</f>
        <v/>
      </c>
      <c r="D12">
        <f>Assumptions!B9</f>
        <v/>
      </c>
      <c r="E12">
        <f>Assumptions!B9</f>
        <v/>
      </c>
      <c r="F12">
        <f>Assumptions!B9</f>
        <v/>
      </c>
      <c r="G12">
        <f>Assumptions!B9</f>
        <v/>
      </c>
    </row>
    <row r="13">
      <c r="A13" t="inlineStr">
        <is>
          <t>Receivables</t>
        </is>
      </c>
      <c r="B13" t="n">
        <v>0</v>
      </c>
      <c r="C13">
        <f>C2*C12/365</f>
        <v/>
      </c>
      <c r="D13">
        <f>D2*D12/365</f>
        <v/>
      </c>
      <c r="E13">
        <f>E2*E12/365</f>
        <v/>
      </c>
      <c r="F13">
        <f>F2*F12/365</f>
        <v/>
      </c>
      <c r="G13">
        <f>G2*G12/365</f>
        <v/>
      </c>
    </row>
    <row r="14">
      <c r="A14" t="inlineStr">
        <is>
          <t>Inventory Days</t>
        </is>
      </c>
      <c r="B14" t="n">
        <v>125</v>
      </c>
      <c r="C14">
        <f>Assumptions!B10</f>
        <v/>
      </c>
      <c r="D14">
        <f>Assumptions!B10</f>
        <v/>
      </c>
      <c r="E14">
        <f>Assumptions!B10</f>
        <v/>
      </c>
      <c r="F14">
        <f>Assumptions!B10</f>
        <v/>
      </c>
      <c r="G14">
        <f>Assumptions!B10</f>
        <v/>
      </c>
    </row>
    <row r="15">
      <c r="A15" t="inlineStr">
        <is>
          <t>Inventory</t>
        </is>
      </c>
      <c r="B15" t="n">
        <v>0</v>
      </c>
      <c r="C15">
        <f>C2*C14/365</f>
        <v/>
      </c>
      <c r="D15">
        <f>D2*D14/365</f>
        <v/>
      </c>
      <c r="E15">
        <f>E2*E14/365</f>
        <v/>
      </c>
      <c r="F15">
        <f>F2*F14/365</f>
        <v/>
      </c>
      <c r="G15">
        <f>G2*G14/365</f>
        <v/>
      </c>
    </row>
    <row r="16">
      <c r="A16" t="inlineStr">
        <is>
          <t>DPO</t>
        </is>
      </c>
      <c r="B16" t="n">
        <v>60</v>
      </c>
      <c r="C16">
        <f>Assumptions!B11</f>
        <v/>
      </c>
      <c r="D16">
        <f>Assumptions!B11</f>
        <v/>
      </c>
      <c r="E16">
        <f>Assumptions!B11</f>
        <v/>
      </c>
      <c r="F16">
        <f>Assumptions!B11</f>
        <v/>
      </c>
      <c r="G16">
        <f>Assumptions!B11</f>
        <v/>
      </c>
    </row>
    <row r="17">
      <c r="A17" t="inlineStr">
        <is>
          <t>Payables</t>
        </is>
      </c>
      <c r="B17" t="n">
        <v>0</v>
      </c>
      <c r="C17">
        <f>C2*C16/365</f>
        <v/>
      </c>
      <c r="D17">
        <f>D2*D16/365</f>
        <v/>
      </c>
      <c r="E17">
        <f>E2*E16/365</f>
        <v/>
      </c>
      <c r="F17">
        <f>F2*F16/365</f>
        <v/>
      </c>
      <c r="G17">
        <f>G2*G16/365</f>
        <v/>
      </c>
    </row>
    <row r="18">
      <c r="A18" t="inlineStr">
        <is>
          <t>NWC</t>
        </is>
      </c>
      <c r="B18" t="n">
        <v>0</v>
      </c>
      <c r="C18">
        <f>C13+C15-C17</f>
        <v/>
      </c>
      <c r="D18">
        <f>D13+D15-D17</f>
        <v/>
      </c>
      <c r="E18">
        <f>E13+E15-E17</f>
        <v/>
      </c>
      <c r="F18">
        <f>F13+F15-F17</f>
        <v/>
      </c>
      <c r="G18">
        <f>G13+G15-G17</f>
        <v/>
      </c>
    </row>
    <row r="19">
      <c r="A19" t="inlineStr">
        <is>
          <t>Change NWC</t>
        </is>
      </c>
      <c r="B19" t="n">
        <v>0</v>
      </c>
      <c r="C19">
        <f>C18-B18</f>
        <v/>
      </c>
      <c r="D19">
        <f>D18-C18</f>
        <v/>
      </c>
      <c r="E19">
        <f>E18-D18</f>
        <v/>
      </c>
      <c r="F19">
        <f>F18-E18</f>
        <v/>
      </c>
      <c r="G19">
        <f>G18-F18</f>
        <v/>
      </c>
    </row>
    <row r="20">
      <c r="A20" t="inlineStr">
        <is>
          <t>CFO</t>
        </is>
      </c>
      <c r="B20" t="n">
        <v>1624</v>
      </c>
      <c r="C20">
        <f>C11+C6-C19</f>
        <v/>
      </c>
      <c r="D20">
        <f>D11+D6-D19</f>
        <v/>
      </c>
      <c r="E20">
        <f>E11+E6-E19</f>
        <v/>
      </c>
      <c r="F20">
        <f>F11+F6-F19</f>
        <v/>
      </c>
      <c r="G20">
        <f>G11+G6-G19</f>
        <v/>
      </c>
    </row>
    <row r="21">
      <c r="A21" t="inlineStr">
        <is>
          <t>CapEx</t>
        </is>
      </c>
      <c r="B21" t="n">
        <v>1070</v>
      </c>
      <c r="C21">
        <f>C2*Assumptions!B12</f>
        <v/>
      </c>
      <c r="D21">
        <f>D2*Assumptions!B12</f>
        <v/>
      </c>
      <c r="E21">
        <f>E2*Assumptions!B12</f>
        <v/>
      </c>
      <c r="F21">
        <f>F2*Assumptions!B12</f>
        <v/>
      </c>
      <c r="G21">
        <f>G2*Assumptions!B12</f>
        <v/>
      </c>
    </row>
    <row r="22">
      <c r="A22" t="inlineStr">
        <is>
          <t>FCF</t>
        </is>
      </c>
      <c r="B22">
        <f>B20-B21</f>
        <v/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</row>
    <row r="23">
      <c r="A23" t="inlineStr">
        <is>
          <t>Dividends</t>
        </is>
      </c>
      <c r="B23" t="n">
        <v>86</v>
      </c>
      <c r="C23">
        <f>C11*Assumptions!B14</f>
        <v/>
      </c>
      <c r="D23">
        <f>D11*Assumptions!B14</f>
        <v/>
      </c>
      <c r="E23">
        <f>E11*Assumptions!B14</f>
        <v/>
      </c>
      <c r="F23">
        <f>F11*Assumptions!B14</f>
        <v/>
      </c>
      <c r="G23">
        <f>G11*Assumptions!B14</f>
        <v/>
      </c>
    </row>
    <row r="24">
      <c r="A24" t="inlineStr">
        <is>
          <t>Debt</t>
        </is>
      </c>
      <c r="B24" t="n">
        <v>2693</v>
      </c>
      <c r="C24">
        <f>B24+C23-C22</f>
        <v/>
      </c>
      <c r="D24">
        <f>C24+D23-D22</f>
        <v/>
      </c>
      <c r="E24">
        <f>D24+E23-E22</f>
        <v/>
      </c>
      <c r="F24">
        <f>E24+F23-F22</f>
        <v/>
      </c>
      <c r="G24">
        <f>F24+G23-G22</f>
        <v/>
      </c>
    </row>
    <row r="25">
      <c r="A25" t="inlineStr">
        <is>
          <t>Ending Cash</t>
        </is>
      </c>
      <c r="B25" t="n">
        <v>100</v>
      </c>
      <c r="C25">
        <f>B25+C22-C23</f>
        <v/>
      </c>
      <c r="D25">
        <f>C25+D22-D23</f>
        <v/>
      </c>
      <c r="E25">
        <f>D25+E22-E23</f>
        <v/>
      </c>
      <c r="F25">
        <f>E25+F22-F23</f>
        <v/>
      </c>
      <c r="G25">
        <f>F25+G22-G23</f>
        <v/>
      </c>
    </row>
    <row r="26">
      <c r="A26" t="inlineStr">
        <is>
          <t>Balance Check</t>
        </is>
      </c>
      <c r="B26" t="n">
        <v>0</v>
      </c>
      <c r="C26">
        <f>C25+C13+C15-C17+C24-(C2*0.5)</f>
        <v/>
      </c>
      <c r="D26">
        <f>D25+D13+D15-D17+D24-(D2*0.5)</f>
        <v/>
      </c>
      <c r="E26">
        <f>E25+E13+E15-E17+E24-(E2*0.5)</f>
        <v/>
      </c>
      <c r="F26">
        <f>F25+F13+F15-F17+F24-(F2*0.5)</f>
        <v/>
      </c>
      <c r="G26">
        <f>G25+G13+G15-G17+G24-(G2*0.5)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Scenario</t>
        </is>
      </c>
      <c r="B1" s="1" t="inlineStr">
        <is>
          <t>Growth FY27</t>
        </is>
      </c>
      <c r="C1" s="1" t="inlineStr">
        <is>
          <t>EBITDA Margin</t>
        </is>
      </c>
      <c r="D1" s="1" t="inlineStr">
        <is>
          <t>CapEx %</t>
        </is>
      </c>
      <c r="E1" s="1" t="inlineStr">
        <is>
          <t>DSO</t>
        </is>
      </c>
      <c r="F1" s="1" t="inlineStr">
        <is>
          <t>Inventory Days</t>
        </is>
      </c>
      <c r="G1" s="1" t="inlineStr">
        <is>
          <t>Decision focus</t>
        </is>
      </c>
    </row>
    <row r="2">
      <c r="A2" t="inlineStr">
        <is>
          <t>Bear</t>
        </is>
      </c>
      <c r="B2">
        <f>Assumptions!D2</f>
        <v/>
      </c>
      <c r="C2">
        <f>Assumptions!D7</f>
        <v/>
      </c>
      <c r="D2">
        <f>Assumptions!D12</f>
        <v/>
      </c>
      <c r="E2">
        <f>Assumptions!D9</f>
        <v/>
      </c>
      <c r="F2">
        <f>Assumptions!D10</f>
        <v/>
      </c>
      <c r="G2" t="inlineStr">
        <is>
          <t>Liquidity / leverage stress</t>
        </is>
      </c>
    </row>
    <row r="3">
      <c r="A3" t="inlineStr">
        <is>
          <t>Base</t>
        </is>
      </c>
      <c r="B3">
        <f>Assumptions!B2</f>
        <v/>
      </c>
      <c r="C3">
        <f>Assumptions!B7</f>
        <v/>
      </c>
      <c r="D3">
        <f>Assumptions!B12</f>
        <v/>
      </c>
      <c r="E3">
        <f>Assumptions!B9</f>
        <v/>
      </c>
      <c r="F3">
        <f>Assumptions!B10</f>
        <v/>
      </c>
      <c r="G3" t="inlineStr">
        <is>
          <t>Primary planning case</t>
        </is>
      </c>
    </row>
    <row r="4">
      <c r="A4" t="inlineStr">
        <is>
          <t>Bull</t>
        </is>
      </c>
      <c r="B4">
        <f>Assumptions!C2</f>
        <v/>
      </c>
      <c r="C4">
        <f>Assumptions!C7</f>
        <v/>
      </c>
      <c r="D4">
        <f>Assumptions!C12</f>
        <v/>
      </c>
      <c r="E4">
        <f>Assumptions!C9</f>
        <v/>
      </c>
      <c r="F4">
        <f>Assumptions!C10</f>
        <v/>
      </c>
      <c r="G4" t="inlineStr">
        <is>
          <t>Operating leverage / growth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KPI</t>
        </is>
      </c>
      <c r="B1" s="1" t="inlineStr">
        <is>
          <t>FY2024A</t>
        </is>
      </c>
      <c r="C1" s="1" t="inlineStr">
        <is>
          <t>FY2025A</t>
        </is>
      </c>
      <c r="D1" s="1" t="inlineStr">
        <is>
          <t>FY2026A</t>
        </is>
      </c>
      <c r="E1" s="1" t="inlineStr">
        <is>
          <t>FY2031E</t>
        </is>
      </c>
    </row>
    <row r="2">
      <c r="A2" t="inlineStr">
        <is>
          <t>Revenue Growth</t>
        </is>
      </c>
      <c r="B2">
        <f>Historical_IS!C2/Historical_IS!B2-1</f>
        <v/>
      </c>
      <c r="C2">
        <f>Historical_IS!D2/Historical_IS!C2-1</f>
        <v/>
      </c>
      <c r="D2">
        <f>Historical_IS!D2/Historical_IS!C2-1</f>
        <v/>
      </c>
      <c r="E2">
        <f>Forecast_3Statement!G3</f>
        <v/>
      </c>
    </row>
    <row r="3">
      <c r="A3" t="inlineStr">
        <is>
          <t>EBITDA Margin</t>
        </is>
      </c>
      <c r="B3">
        <f>Historical_IS!B3/Historical_IS!B2</f>
        <v/>
      </c>
      <c r="C3">
        <f>Historical_IS!C3/Historical_IS!C2</f>
        <v/>
      </c>
      <c r="D3">
        <f>Historical_IS!D3/Historical_IS!D2</f>
        <v/>
      </c>
      <c r="E3">
        <f>Forecast_3Statement!G4</f>
        <v/>
      </c>
    </row>
    <row r="4">
      <c r="A4" t="inlineStr">
        <is>
          <t>PAT Margin</t>
        </is>
      </c>
      <c r="B4">
        <f>Historical_IS!B5/Historical_IS!B2</f>
        <v/>
      </c>
      <c r="C4">
        <f>Historical_IS!C5/Historical_IS!C2</f>
        <v/>
      </c>
      <c r="D4">
        <f>Historical_IS!D5/Historical_IS!D2</f>
        <v/>
      </c>
      <c r="E4">
        <f>Forecast_3Statement!G11/Forecast_3Statement!G2</f>
        <v/>
      </c>
    </row>
    <row r="5">
      <c r="A5" t="inlineStr">
        <is>
          <t>NWC / Revenue</t>
        </is>
      </c>
      <c r="B5">
        <f>Historical_BS!B8/Historical_IS!B2</f>
        <v/>
      </c>
      <c r="C5">
        <f>Historical_BS!C8/Historical_IS!C2</f>
        <v/>
      </c>
      <c r="D5" t="inlineStr">
        <is>
          <t>0</t>
        </is>
      </c>
      <c r="E5">
        <f>Forecast_3Statement!G18/Forecast_3Statement!G2</f>
        <v/>
      </c>
    </row>
    <row r="6">
      <c r="A6" t="inlineStr">
        <is>
          <t>FCF Margin</t>
        </is>
      </c>
      <c r="B6" t="inlineStr"/>
      <c r="C6" t="inlineStr"/>
      <c r="D6">
        <f>Forecast_3Statement!B22/Forecast_3Statement!B2</f>
        <v/>
      </c>
      <c r="E6">
        <f>Forecast_3Statement!G22/Forecast_3Statement!G2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2026-08-27T11:40:12Z</dcterms:created>
  <dcterms:modified xmlns:dcterms="http://purl.org/dc/terms/" xmlns:xsi="http://www.w3.org/2001/XMLSchema-instance" xsi:type="dcterms:W3CDTF">2026-08-27T11:40:12Z</dcterms:modified>
</cp:coreProperties>
</file>